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e68f8357b2c7f3c5/Documents/DATA CAMP WIDA/"/>
    </mc:Choice>
  </mc:AlternateContent>
  <xr:revisionPtr revIDLastSave="5" documentId="8_{188DE151-04E4-4212-87BE-390E63644BD3}" xr6:coauthVersionLast="47" xr6:coauthVersionMax="47" xr10:uidLastSave="{202EE2CA-FE76-4A3C-A14F-E621C9E524F8}"/>
  <bookViews>
    <workbookView xWindow="-110" yWindow="-110" windowWidth="19420" windowHeight="10300" firstSheet="2" activeTab="3" xr2:uid="{00000000-000D-0000-FFFF-FFFF00000000}"/>
  </bookViews>
  <sheets>
    <sheet name="bike_buyers" sheetId="1" r:id="rId1"/>
    <sheet name="Working Sheet" sheetId="2" r:id="rId2"/>
    <sheet name=" 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9"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2" l="1"/>
  <c r="M3" i="2"/>
  <c r="M4" i="2"/>
  <c r="M5" i="2"/>
  <c r="M6" i="2"/>
  <c r="M7" i="2"/>
  <c r="M8" i="2"/>
  <c r="M9" i="2"/>
  <c r="M10"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<sst xmlns="http://schemas.openxmlformats.org/spreadsheetml/2006/main" count="16267" uniqueCount="51">
  <si>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</si>
  <si>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</si>
  <si>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</si>
  <si>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</si>
  <si>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</si>
  <si>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</si>
  <si>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</si>
  <si>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</si>
  <si>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</si>
  <si>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</si>
  <si>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</si>
  <si>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</si>
  <si>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</si>
  <si>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</si>
  <si>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</si>
  <si>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</si>
  <si>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</si>
  <si>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</si>
  <si>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</si>
  <si>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</si>
  <si>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</si>
  <si>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</si>
  <si>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</si>
  <si>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</si>
  <si>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</si>
  <si>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</si>
  <si>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</si>
  <si>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</si>
  <si>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</si>
  <si>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</si>
  <si>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</si>
  <si>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</si>
  <si>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</si>
  <si>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</si>
  <si>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</si>
  <si>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</si>
  <si>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</si>
  <si>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</si>
  <si>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</si>
  <si>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</si>
  <si>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</si>
  <si>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</si>
  <si>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</si>
  <si>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</si>
  <si>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</si>
  <si>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</si>
  <si>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10 Miles +</t>
  </si>
  <si>
    <t xml:space="preserve"> Old</t>
  </si>
  <si>
    <t>Adolescent</t>
  </si>
  <si>
    <t>Middle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</si>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</sst>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0"/>
      <name val="Calibri"/>
      <family val="2"/>
      <scheme val="minor"/>
    </font>
    <font>
      <b/>
      <sz val="28"/>
      <color theme="0"/>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7" fillId="33" borderId="0" xfId="0" applyFont="1" applyFill="1"/>
    <xf numFmtId="0" fontId="0" fillId="33" borderId="0" xfId="0" applyFill="1"/>
    <xf numFmtId="0" fontId="19" fillId="33" borderId="0" xfId="0" applyFont="1" applyFill="1"/>
    <xf numFmtId="0" fontId="20" fillId="33" borderId="0" xfId="0" applyFont="1" applyFill="1" applyAlignment="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Table'!$B$3:$B$4</c:f>
              <c:strCache>
                <c:ptCount val="1"/>
                <c:pt idx="0">
                  <c:v>No</c:v>
                </c:pt>
              </c:strCache>
            </c:strRef>
          </c:tx>
          <c:spPr>
            <a:solidFill>
              <a:schemeClr val="accent1"/>
            </a:solidFill>
            <a:ln>
              <a:noFill/>
            </a:ln>
            <a:effectLst/>
          </c:spPr>
          <c:invertIfNegative val="0"/>
          <c:cat>
            <c:strRef>
              <c:f>' Pivot Table'!$A$5:$A$7</c:f>
              <c:strCache>
                <c:ptCount val="2"/>
                <c:pt idx="0">
                  <c:v>Female</c:v>
                </c:pt>
                <c:pt idx="1">
                  <c:v>Male</c:v>
                </c:pt>
              </c:strCache>
            </c:strRef>
          </c:cat>
          <c:val>
            <c:numRef>
              <c:f>' Pivot Table'!$B$5:$B$7</c:f>
              <c:numCache>
                <c:formatCode>"$"#,##0</c:formatCode>
                <c:ptCount val="2"/>
                <c:pt idx="0">
                  <c:v>53440</c:v>
                </c:pt>
                <c:pt idx="1">
                  <c:v>56208.178438661707</c:v>
                </c:pt>
              </c:numCache>
            </c:numRef>
          </c:val>
          <c:extLst>
            <c:ext xmlns:c16="http://schemas.microsoft.com/office/drawing/2014/chart" uri="{C3380CC4-5D6E-409C-BE32-E72D297353CC}">
              <c16:uniqueId val="{00000000-7683-45EE-9FC9-D5B77552E33E}"/>
            </c:ext>
          </c:extLst>
        </c:ser>
        <c:ser>
          <c:idx val="1"/>
          <c:order val="1"/>
          <c:tx>
            <c:strRef>
              <c:f>' Pivot Table'!$C$3:$C$4</c:f>
              <c:strCache>
                <c:ptCount val="1"/>
                <c:pt idx="0">
                  <c:v>Yes</c:v>
                </c:pt>
              </c:strCache>
            </c:strRef>
          </c:tx>
          <c:spPr>
            <a:solidFill>
              <a:schemeClr val="accent2"/>
            </a:solidFill>
            <a:ln>
              <a:noFill/>
            </a:ln>
            <a:effectLst/>
          </c:spPr>
          <c:invertIfNegative val="0"/>
          <c:cat>
            <c:strRef>
              <c:f>' Pivot Table'!$A$5:$A$7</c:f>
              <c:strCache>
                <c:ptCount val="2"/>
                <c:pt idx="0">
                  <c:v>Female</c:v>
                </c:pt>
                <c:pt idx="1">
                  <c:v>Male</c:v>
                </c:pt>
              </c:strCache>
            </c:strRef>
          </c:cat>
          <c:val>
            <c:numRef>
              <c:f>' 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683-45EE-9FC9-D5B77552E33E}"/>
            </c:ext>
          </c:extLst>
        </c:ser>
        <c:dLbls>
          <c:showLegendKey val="0"/>
          <c:showVal val="0"/>
          <c:showCatName val="0"/>
          <c:showSerName val="0"/>
          <c:showPercent val="0"/>
          <c:showBubbleSize val="0"/>
        </c:dLbls>
        <c:gapWidth val="219"/>
        <c:overlap val="-27"/>
        <c:axId val="1852269584"/>
        <c:axId val="1852262864"/>
      </c:barChart>
      <c:catAx>
        <c:axId val="1852269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62864"/>
        <c:crosses val="autoZero"/>
        <c:auto val="1"/>
        <c:lblAlgn val="ctr"/>
        <c:lblOffset val="100"/>
        <c:noMultiLvlLbl val="0"/>
      </c:catAx>
      <c:valAx>
        <c:axId val="185226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6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Table'!$B$20:$B$21</c:f>
              <c:strCache>
                <c:ptCount val="1"/>
                <c:pt idx="0">
                  <c:v>No</c:v>
                </c:pt>
              </c:strCache>
            </c:strRef>
          </c:tx>
          <c:spPr>
            <a:ln w="28575" cap="rnd">
              <a:solidFill>
                <a:schemeClr val="accent1"/>
              </a:solidFill>
              <a:round/>
            </a:ln>
            <a:effectLst/>
          </c:spPr>
          <c:marker>
            <c:symbol val="none"/>
          </c:marker>
          <c:cat>
            <c:strRef>
              <c:f>' Pivot Table'!$A$22:$A$27</c:f>
              <c:strCache>
                <c:ptCount val="5"/>
                <c:pt idx="0">
                  <c:v>0-1 Miles</c:v>
                </c:pt>
                <c:pt idx="1">
                  <c:v>1-2 Miles</c:v>
                </c:pt>
                <c:pt idx="2">
                  <c:v>2-5 Miles</c:v>
                </c:pt>
                <c:pt idx="3">
                  <c:v>5-10 Miles</c:v>
                </c:pt>
                <c:pt idx="4">
                  <c:v>10 Miles +</c:v>
                </c:pt>
              </c:strCache>
            </c:strRef>
          </c:cat>
          <c:val>
            <c:numRef>
              <c:f>' 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F2-4887-B982-CCF38AFC6583}"/>
            </c:ext>
          </c:extLst>
        </c:ser>
        <c:ser>
          <c:idx val="1"/>
          <c:order val="1"/>
          <c:tx>
            <c:strRef>
              <c:f>' Pivot Table'!$C$20:$C$21</c:f>
              <c:strCache>
                <c:ptCount val="1"/>
                <c:pt idx="0">
                  <c:v>Yes</c:v>
                </c:pt>
              </c:strCache>
            </c:strRef>
          </c:tx>
          <c:spPr>
            <a:ln w="28575" cap="rnd">
              <a:solidFill>
                <a:schemeClr val="accent2"/>
              </a:solidFill>
              <a:round/>
            </a:ln>
            <a:effectLst/>
          </c:spPr>
          <c:marker>
            <c:symbol val="none"/>
          </c:marker>
          <c:cat>
            <c:strRef>
              <c:f>' Pivot Table'!$A$22:$A$27</c:f>
              <c:strCache>
                <c:ptCount val="5"/>
                <c:pt idx="0">
                  <c:v>0-1 Miles</c:v>
                </c:pt>
                <c:pt idx="1">
                  <c:v>1-2 Miles</c:v>
                </c:pt>
                <c:pt idx="2">
                  <c:v>2-5 Miles</c:v>
                </c:pt>
                <c:pt idx="3">
                  <c:v>5-10 Miles</c:v>
                </c:pt>
                <c:pt idx="4">
                  <c:v>10 Miles +</c:v>
                </c:pt>
              </c:strCache>
            </c:strRef>
          </c:cat>
          <c:val>
            <c:numRef>
              <c:f>' 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F2-4887-B982-CCF38AFC6583}"/>
            </c:ext>
          </c:extLst>
        </c:ser>
        <c:dLbls>
          <c:showLegendKey val="0"/>
          <c:showVal val="0"/>
          <c:showCatName val="0"/>
          <c:showSerName val="0"/>
          <c:showPercent val="0"/>
          <c:showBubbleSize val="0"/>
        </c:dLbls>
        <c:smooth val="0"/>
        <c:axId val="1852249424"/>
        <c:axId val="1852242704"/>
      </c:lineChart>
      <c:catAx>
        <c:axId val="185224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42704"/>
        <c:crosses val="autoZero"/>
        <c:auto val="1"/>
        <c:lblAlgn val="ctr"/>
        <c:lblOffset val="100"/>
        <c:noMultiLvlLbl val="0"/>
      </c:catAx>
      <c:valAx>
        <c:axId val="185224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Table'!$B$35:$B$36</c:f>
              <c:strCache>
                <c:ptCount val="1"/>
                <c:pt idx="0">
                  <c:v>No</c:v>
                </c:pt>
              </c:strCache>
            </c:strRef>
          </c:tx>
          <c:spPr>
            <a:ln w="28575" cap="rnd">
              <a:solidFill>
                <a:schemeClr val="accent1"/>
              </a:solidFill>
              <a:round/>
            </a:ln>
            <a:effectLst/>
          </c:spPr>
          <c:marker>
            <c:symbol val="none"/>
          </c:marker>
          <c:cat>
            <c:strRef>
              <c:f>' Pivot Table'!$A$37:$A$40</c:f>
              <c:strCache>
                <c:ptCount val="3"/>
                <c:pt idx="0">
                  <c:v>Adolescent</c:v>
                </c:pt>
                <c:pt idx="1">
                  <c:v>Middle Age</c:v>
                </c:pt>
                <c:pt idx="2">
                  <c:v> Old</c:v>
                </c:pt>
              </c:strCache>
            </c:strRef>
          </c:cat>
          <c:val>
            <c:numRef>
              <c:f>' 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AD0-4416-9C62-1D5627091916}"/>
            </c:ext>
          </c:extLst>
        </c:ser>
        <c:ser>
          <c:idx val="1"/>
          <c:order val="1"/>
          <c:tx>
            <c:strRef>
              <c:f>' Pivot Table'!$C$35:$C$36</c:f>
              <c:strCache>
                <c:ptCount val="1"/>
                <c:pt idx="0">
                  <c:v>Yes</c:v>
                </c:pt>
              </c:strCache>
            </c:strRef>
          </c:tx>
          <c:spPr>
            <a:ln w="28575" cap="rnd">
              <a:solidFill>
                <a:schemeClr val="accent2"/>
              </a:solidFill>
              <a:round/>
            </a:ln>
            <a:effectLst/>
          </c:spPr>
          <c:marker>
            <c:symbol val="none"/>
          </c:marker>
          <c:cat>
            <c:strRef>
              <c:f>' Pivot Table'!$A$37:$A$40</c:f>
              <c:strCache>
                <c:ptCount val="3"/>
                <c:pt idx="0">
                  <c:v>Adolescent</c:v>
                </c:pt>
                <c:pt idx="1">
                  <c:v>Middle Age</c:v>
                </c:pt>
                <c:pt idx="2">
                  <c:v> Old</c:v>
                </c:pt>
              </c:strCache>
            </c:strRef>
          </c:cat>
          <c:val>
            <c:numRef>
              <c:f>' 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AD0-4416-9C62-1D5627091916}"/>
            </c:ext>
          </c:extLst>
        </c:ser>
        <c:dLbls>
          <c:showLegendKey val="0"/>
          <c:showVal val="0"/>
          <c:showCatName val="0"/>
          <c:showSerName val="0"/>
          <c:showPercent val="0"/>
          <c:showBubbleSize val="0"/>
        </c:dLbls>
        <c:smooth val="0"/>
        <c:axId val="1839819280"/>
        <c:axId val="1839819760"/>
      </c:lineChart>
      <c:catAx>
        <c:axId val="183981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19760"/>
        <c:crosses val="autoZero"/>
        <c:auto val="1"/>
        <c:lblAlgn val="ctr"/>
        <c:lblOffset val="100"/>
        <c:noMultiLvlLbl val="0"/>
      </c:catAx>
      <c:valAx>
        <c:axId val="18398197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Table'!$B$3:$B$4</c:f>
              <c:strCache>
                <c:ptCount val="1"/>
                <c:pt idx="0">
                  <c:v>No</c:v>
                </c:pt>
              </c:strCache>
            </c:strRef>
          </c:tx>
          <c:spPr>
            <a:solidFill>
              <a:schemeClr val="accent1"/>
            </a:solidFill>
            <a:ln>
              <a:noFill/>
            </a:ln>
            <a:effectLst/>
          </c:spPr>
          <c:invertIfNegative val="0"/>
          <c:cat>
            <c:strRef>
              <c:f>' Pivot Table'!$A$5:$A$7</c:f>
              <c:strCache>
                <c:ptCount val="2"/>
                <c:pt idx="0">
                  <c:v>Female</c:v>
                </c:pt>
                <c:pt idx="1">
                  <c:v>Male</c:v>
                </c:pt>
              </c:strCache>
            </c:strRef>
          </c:cat>
          <c:val>
            <c:numRef>
              <c:f>' Pivot Table'!$B$5:$B$7</c:f>
              <c:numCache>
                <c:formatCode>"$"#,##0</c:formatCode>
                <c:ptCount val="2"/>
                <c:pt idx="0">
                  <c:v>53440</c:v>
                </c:pt>
                <c:pt idx="1">
                  <c:v>56208.178438661707</c:v>
                </c:pt>
              </c:numCache>
            </c:numRef>
          </c:val>
          <c:extLst>
            <c:ext xmlns:c16="http://schemas.microsoft.com/office/drawing/2014/chart" uri="{C3380CC4-5D6E-409C-BE32-E72D297353CC}">
              <c16:uniqueId val="{00000000-C9FD-4786-9F19-4757FE879A9F}"/>
            </c:ext>
          </c:extLst>
        </c:ser>
        <c:ser>
          <c:idx val="1"/>
          <c:order val="1"/>
          <c:tx>
            <c:strRef>
              <c:f>' Pivot Table'!$C$3:$C$4</c:f>
              <c:strCache>
                <c:ptCount val="1"/>
                <c:pt idx="0">
                  <c:v>Yes</c:v>
                </c:pt>
              </c:strCache>
            </c:strRef>
          </c:tx>
          <c:spPr>
            <a:solidFill>
              <a:schemeClr val="accent2"/>
            </a:solidFill>
            <a:ln>
              <a:noFill/>
            </a:ln>
            <a:effectLst/>
          </c:spPr>
          <c:invertIfNegative val="0"/>
          <c:cat>
            <c:strRef>
              <c:f>' Pivot Table'!$A$5:$A$7</c:f>
              <c:strCache>
                <c:ptCount val="2"/>
                <c:pt idx="0">
                  <c:v>Female</c:v>
                </c:pt>
                <c:pt idx="1">
                  <c:v>Male</c:v>
                </c:pt>
              </c:strCache>
            </c:strRef>
          </c:cat>
          <c:val>
            <c:numRef>
              <c:f>' 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9FD-4786-9F19-4757FE879A9F}"/>
            </c:ext>
          </c:extLst>
        </c:ser>
        <c:dLbls>
          <c:showLegendKey val="0"/>
          <c:showVal val="0"/>
          <c:showCatName val="0"/>
          <c:showSerName val="0"/>
          <c:showPercent val="0"/>
          <c:showBubbleSize val="0"/>
        </c:dLbls>
        <c:gapWidth val="219"/>
        <c:overlap val="-27"/>
        <c:axId val="1852269584"/>
        <c:axId val="1852262864"/>
      </c:barChart>
      <c:catAx>
        <c:axId val="1852269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62864"/>
        <c:crosses val="autoZero"/>
        <c:auto val="1"/>
        <c:lblAlgn val="ctr"/>
        <c:lblOffset val="100"/>
        <c:noMultiLvlLbl val="0"/>
      </c:catAx>
      <c:valAx>
        <c:axId val="185226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6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Table'!$B$20:$B$21</c:f>
              <c:strCache>
                <c:ptCount val="1"/>
                <c:pt idx="0">
                  <c:v>No</c:v>
                </c:pt>
              </c:strCache>
            </c:strRef>
          </c:tx>
          <c:spPr>
            <a:ln w="28575" cap="rnd">
              <a:solidFill>
                <a:schemeClr val="accent1"/>
              </a:solidFill>
              <a:round/>
            </a:ln>
            <a:effectLst/>
          </c:spPr>
          <c:marker>
            <c:symbol val="none"/>
          </c:marker>
          <c:cat>
            <c:strRef>
              <c:f>' Pivot Table'!$A$22:$A$27</c:f>
              <c:strCache>
                <c:ptCount val="5"/>
                <c:pt idx="0">
                  <c:v>0-1 Miles</c:v>
                </c:pt>
                <c:pt idx="1">
                  <c:v>1-2 Miles</c:v>
                </c:pt>
                <c:pt idx="2">
                  <c:v>2-5 Miles</c:v>
                </c:pt>
                <c:pt idx="3">
                  <c:v>5-10 Miles</c:v>
                </c:pt>
                <c:pt idx="4">
                  <c:v>10 Miles +</c:v>
                </c:pt>
              </c:strCache>
            </c:strRef>
          </c:cat>
          <c:val>
            <c:numRef>
              <c:f>' 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E00-4640-99AB-12F25DF322E3}"/>
            </c:ext>
          </c:extLst>
        </c:ser>
        <c:ser>
          <c:idx val="1"/>
          <c:order val="1"/>
          <c:tx>
            <c:strRef>
              <c:f>' Pivot Table'!$C$20:$C$21</c:f>
              <c:strCache>
                <c:ptCount val="1"/>
                <c:pt idx="0">
                  <c:v>Yes</c:v>
                </c:pt>
              </c:strCache>
            </c:strRef>
          </c:tx>
          <c:spPr>
            <a:ln w="28575" cap="rnd">
              <a:solidFill>
                <a:schemeClr val="accent2"/>
              </a:solidFill>
              <a:round/>
            </a:ln>
            <a:effectLst/>
          </c:spPr>
          <c:marker>
            <c:symbol val="none"/>
          </c:marker>
          <c:cat>
            <c:strRef>
              <c:f>' Pivot Table'!$A$22:$A$27</c:f>
              <c:strCache>
                <c:ptCount val="5"/>
                <c:pt idx="0">
                  <c:v>0-1 Miles</c:v>
                </c:pt>
                <c:pt idx="1">
                  <c:v>1-2 Miles</c:v>
                </c:pt>
                <c:pt idx="2">
                  <c:v>2-5 Miles</c:v>
                </c:pt>
                <c:pt idx="3">
                  <c:v>5-10 Miles</c:v>
                </c:pt>
                <c:pt idx="4">
                  <c:v>10 Miles +</c:v>
                </c:pt>
              </c:strCache>
            </c:strRef>
          </c:cat>
          <c:val>
            <c:numRef>
              <c:f>' 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E00-4640-99AB-12F25DF322E3}"/>
            </c:ext>
          </c:extLst>
        </c:ser>
        <c:dLbls>
          <c:showLegendKey val="0"/>
          <c:showVal val="0"/>
          <c:showCatName val="0"/>
          <c:showSerName val="0"/>
          <c:showPercent val="0"/>
          <c:showBubbleSize val="0"/>
        </c:dLbls>
        <c:smooth val="0"/>
        <c:axId val="1852249424"/>
        <c:axId val="1852242704"/>
      </c:lineChart>
      <c:catAx>
        <c:axId val="1852249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42704"/>
        <c:crosses val="autoZero"/>
        <c:auto val="1"/>
        <c:lblAlgn val="ctr"/>
        <c:lblOffset val="100"/>
        <c:noMultiLvlLbl val="0"/>
      </c:catAx>
      <c:valAx>
        <c:axId val="185224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PROJET 1.xlsx] 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Table'!$B$35:$B$36</c:f>
              <c:strCache>
                <c:ptCount val="1"/>
                <c:pt idx="0">
                  <c:v>No</c:v>
                </c:pt>
              </c:strCache>
            </c:strRef>
          </c:tx>
          <c:spPr>
            <a:ln w="28575" cap="rnd">
              <a:solidFill>
                <a:schemeClr val="accent1"/>
              </a:solidFill>
              <a:round/>
            </a:ln>
            <a:effectLst/>
          </c:spPr>
          <c:marker>
            <c:symbol val="none"/>
          </c:marker>
          <c:cat>
            <c:strRef>
              <c:f>' Pivot Table'!$A$37:$A$40</c:f>
              <c:strCache>
                <c:ptCount val="3"/>
                <c:pt idx="0">
                  <c:v>Adolescent</c:v>
                </c:pt>
                <c:pt idx="1">
                  <c:v>Middle Age</c:v>
                </c:pt>
                <c:pt idx="2">
                  <c:v> Old</c:v>
                </c:pt>
              </c:strCache>
            </c:strRef>
          </c:cat>
          <c:val>
            <c:numRef>
              <c:f>' 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5D4-4AA5-87F2-0A32BA6BBD6E}"/>
            </c:ext>
          </c:extLst>
        </c:ser>
        <c:ser>
          <c:idx val="1"/>
          <c:order val="1"/>
          <c:tx>
            <c:strRef>
              <c:f>' Pivot Table'!$C$35:$C$36</c:f>
              <c:strCache>
                <c:ptCount val="1"/>
                <c:pt idx="0">
                  <c:v>Yes</c:v>
                </c:pt>
              </c:strCache>
            </c:strRef>
          </c:tx>
          <c:spPr>
            <a:ln w="28575" cap="rnd">
              <a:solidFill>
                <a:schemeClr val="accent2"/>
              </a:solidFill>
              <a:round/>
            </a:ln>
            <a:effectLst/>
          </c:spPr>
          <c:marker>
            <c:symbol val="none"/>
          </c:marker>
          <c:cat>
            <c:strRef>
              <c:f>' Pivot Table'!$A$37:$A$40</c:f>
              <c:strCache>
                <c:ptCount val="3"/>
                <c:pt idx="0">
                  <c:v>Adolescent</c:v>
                </c:pt>
                <c:pt idx="1">
                  <c:v>Middle Age</c:v>
                </c:pt>
                <c:pt idx="2">
                  <c:v> Old</c:v>
                </c:pt>
              </c:strCache>
            </c:strRef>
          </c:cat>
          <c:val>
            <c:numRef>
              <c:f>' 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5D4-4AA5-87F2-0A32BA6BBD6E}"/>
            </c:ext>
          </c:extLst>
        </c:ser>
        <c:dLbls>
          <c:showLegendKey val="0"/>
          <c:showVal val="0"/>
          <c:showCatName val="0"/>
          <c:showSerName val="0"/>
          <c:showPercent val="0"/>
          <c:showBubbleSize val="0"/>
        </c:dLbls>
        <c:smooth val="0"/>
        <c:axId val="1839819280"/>
        <c:axId val="1839819760"/>
      </c:lineChart>
      <c:catAx>
        <c:axId val="183981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19760"/>
        <c:crosses val="autoZero"/>
        <c:auto val="1"/>
        <c:lblAlgn val="ctr"/>
        <c:lblOffset val="100"/>
        <c:noMultiLvlLbl val="0"/>
      </c:catAx>
      <c:valAx>
        <c:axId val="18398197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165100</xdr:colOff>
      <xdr:row>0</xdr:row>
      <xdr:rowOff>171450</xdr:rowOff>
    </xdr:from>
    <xdr:to>
      <xdr:col>8</xdr:col>
      <xdr:colOff>387350</xdr:colOff>
      <xdr:row>11</xdr:row>
      <xdr:rowOff>127000</xdr:rowOff>
    </xdr:to>
    <xdr:graphicFrame macro="">
      <xdr:nvGraphicFramePr>
        <xdr:cNvPr id="2" name="Chart 1">
          <a:extLst>
            <a:ext uri="{FF2B5EF4-FFF2-40B4-BE49-F238E27FC236}">
              <a16:creationId xmlns:a16="http://schemas.microsoft.com/office/drawing/2014/main" id="{9C42D628-8D05-F69C-2424-52D7054CF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17</xdr:row>
      <xdr:rowOff>171450</xdr:rowOff>
    </xdr:from>
    <xdr:to>
      <xdr:col>6</xdr:col>
      <xdr:colOff>901700</xdr:colOff>
      <xdr:row>29</xdr:row>
      <xdr:rowOff>69850</xdr:rowOff>
    </xdr:to>
    <xdr:graphicFrame macro="">
      <xdr:nvGraphicFramePr>
        <xdr:cNvPr id="3" name="Chart 2">
          <a:extLst>
            <a:ext uri="{FF2B5EF4-FFF2-40B4-BE49-F238E27FC236}">
              <a16:creationId xmlns:a16="http://schemas.microsoft.com/office/drawing/2014/main" id="{FC6CC5E7-59C5-E608-25C3-5A7DE2E60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32</xdr:row>
      <xdr:rowOff>146050</xdr:rowOff>
    </xdr:from>
    <xdr:to>
      <xdr:col>6</xdr:col>
      <xdr:colOff>1143000</xdr:colOff>
      <xdr:row>43</xdr:row>
      <xdr:rowOff>120650</xdr:rowOff>
    </xdr:to>
    <xdr:graphicFrame macro="">
      <xdr:nvGraphicFramePr>
        <xdr:cNvPr id="4" name="Chart 3">
          <a:extLst>
            <a:ext uri="{FF2B5EF4-FFF2-40B4-BE49-F238E27FC236}">
              <a16:creationId xmlns:a16="http://schemas.microsoft.com/office/drawing/2014/main" id="{C4AE2046-C061-64E1-1664-B34E01A27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15875</xdr:colOff>
      <xdr:row>6</xdr:row>
      <xdr:rowOff>7938</xdr:rowOff>
    </xdr:from>
    <xdr:to>
      <xdr:col>9</xdr:col>
      <xdr:colOff>523875</xdr:colOff>
      <xdr:row>16</xdr:row>
      <xdr:rowOff>79374</xdr:rowOff>
    </xdr:to>
    <xdr:graphicFrame macro="">
      <xdr:nvGraphicFramePr>
        <xdr:cNvPr id="2" name="Chart 1">
          <a:extLst>
            <a:ext uri="{FF2B5EF4-FFF2-40B4-BE49-F238E27FC236}">
              <a16:creationId xmlns:a16="http://schemas.microsoft.com/office/drawing/2014/main" id="{00B1EEC9-7E36-40F3-8837-2E93C7D5E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23814</xdr:colOff>
      <xdr:row>16</xdr:row>
      <xdr:rowOff>142874</xdr:rowOff>
    </xdr:from>
    <xdr:to>
      <xdr:col>17</xdr:col>
      <xdr:colOff>1</xdr:colOff>
      <xdr:row>30</xdr:row>
      <xdr:rowOff>15876</xdr:rowOff>
    </xdr:to>
    <xdr:graphicFrame macro="">
      <xdr:nvGraphicFramePr>
        <xdr:cNvPr id="3" name="Chart 2">
          <a:extLst>
            <a:ext uri="{FF2B5EF4-FFF2-40B4-BE49-F238E27FC236}">
              <a16:creationId xmlns:a16="http://schemas.microsoft.com/office/drawing/2014/main" id="{DAE30A2D-3878-47A9-A34F-A9A2A33CF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606425</xdr:colOff>
      <xdr:row>6</xdr:row>
      <xdr:rowOff>7938</xdr:rowOff>
    </xdr:from>
    <xdr:to>
      <xdr:col>16</xdr:col>
      <xdr:colOff>225425</xdr:colOff>
      <xdr:row>16</xdr:row>
      <xdr:rowOff>79376</xdr:rowOff>
    </xdr:to>
    <xdr:graphicFrame macro="">
      <xdr:nvGraphicFramePr>
        <xdr:cNvPr id="4" name="Chart 3">
          <a:extLst>
            <a:ext uri="{FF2B5EF4-FFF2-40B4-BE49-F238E27FC236}">
              <a16:creationId xmlns:a16="http://schemas.microsoft.com/office/drawing/2014/main" id="{E129FF36-9FF4-4172-8B5D-70B623DCA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22227</xdr:rowOff>
    </xdr:from>
    <xdr:to>
      <xdr:col>1</xdr:col>
      <xdr:colOff>555625</xdr:colOff>
      <xdr:row>10</xdr:row>
      <xdr:rowOff>174625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AD0977C-6A96-CDF5-D3C4-6E3301F35BE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514477"/>
              <a:ext cx="1166812" cy="882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87313</xdr:rowOff>
    </xdr:from>
    <xdr:to>
      <xdr:col>1</xdr:col>
      <xdr:colOff>584198</xdr:colOff>
      <xdr:row>21</xdr:row>
      <xdr:rowOff>7938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A5D7F07-32AB-251F-7090-EDEDFEA9894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492376"/>
              <a:ext cx="1195386"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21</xdr:row>
      <xdr:rowOff>34924</xdr:rowOff>
    </xdr:from>
    <xdr:to>
      <xdr:col>1</xdr:col>
      <xdr:colOff>531812</xdr:colOff>
      <xdr:row>27</xdr:row>
      <xdr:rowOff>119062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23C2C93-622E-139E-691B-81FEF78BAD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 y="4265612"/>
              <a:ext cx="1123950" cy="1179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3.567331018516" createdVersion="8" refreshedVersion="8" minRefreshableVersion="3" recordCount="1000" xr:uid="{6465AB50-972D-43E2-94B8-3309E6D3442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 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46763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1BD29E-1323-41C3-A41F-E5595D5F7ADD}"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sortType="ascending">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C5278-4F32-43F9-96E6-D0F44F07762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C979D3-34B7-40EA-90C4-CEB13767AA4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A8F3FB-EFC2-48F5-A4C9-09604FEFBB6B}" sourceName="Marital Status">
  <pivotTables>
    <pivotTable tabId="3" name="PivotTable1"/>
    <pivotTable tabId="3" name="PivotTable2"/>
    <pivotTable tabId="3" name="PivotTable3"/>
  </pivotTables>
  <data>
    <tabular pivotCacheId="16467635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68600D-819D-419F-BCC0-17BB77967C87}" sourceName="Education">
  <pivotTables>
    <pivotTable tabId="3" name="PivotTable1"/>
    <pivotTable tabId="3" name="PivotTable2"/>
    <pivotTable tabId="3" name="PivotTable3"/>
  </pivotTables>
  <data>
    <tabular pivotCacheId="164676355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D909D2-0552-44C9-9D34-2E220B684462}" sourceName="Region">
  <pivotTables>
    <pivotTable tabId="3" name="PivotTable1"/>
    <pivotTable tabId="3" name="PivotTable2"/>
    <pivotTable tabId="3" name="PivotTable3"/>
  </pivotTables>
  <data>
    <tabular pivotCacheId="16467635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E501DD0-4E45-4E63-9F8F-ECD7F1FA9546}" cache="Slicer_Marital_Status" caption="Marital Status" rowHeight="241300"/>
  <slicer name="Education" xr10:uid="{1D41FFB2-4526-4C1D-A41C-28D9908153BC}" cache="Slicer_Education" caption="Education" rowHeight="241300"/>
  <slicer name="Region" xr10:uid="{089D2DB9-16E5-4C31-B6EC-48BE9F85B0E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2" workbookViewId="0">
      <selection activeCell="A2"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335A-3B8D-49CC-8CC4-071E3B4EE65B}">
  <dimension ref="A1:N1001"/>
  <sheetViews>
    <sheetView topLeftCell="I1" workbookViewId="0">
      <pane ySplit="1" topLeftCell="A985" activePane="bottomLeft" state="frozen"/>
      <selection activeCell="J1" sqref="J1"/>
      <selection pane="bottomLeft" activeCell="K998" sqref="K998"/>
    </sheetView>
  </sheetViews>
  <sheetFormatPr defaultColWidth="11.90625" defaultRowHeight="14.5" x14ac:dyDescent="0.35"/>
  <cols>
    <col min="2" max="2" width="12.6328125" bestFit="1" customWidth="1"/>
    <col min="14" max="14" width="15.453125" customWidth="1"/>
  </cols>
  <sheetData>
    <row r="1" spans="1:14" s="3" customFormat="1" x14ac:dyDescent="0.35">
      <c r="A1" s="3" t="s">
        <v>0</v>
      </c>
      <c r="B1" s="3" t="s">
        <v>1</v>
      </c>
      <c r="C1" s="3" t="s">
        <v>2</v>
      </c>
      <c r="D1" s="3" t="s">
        <v>3</v>
      </c>
      <c r="E1" s="3" t="s">
        <v>4</v>
      </c>
      <c r="F1" s="3" t="s">
        <v>5</v>
      </c>
      <c r="G1" s="3" t="s">
        <v>6</v>
      </c>
      <c r="H1" s="3" t="s">
        <v>7</v>
      </c>
      <c r="I1" s="3" t="s">
        <v>8</v>
      </c>
      <c r="J1" s="3" t="s">
        <v>9</v>
      </c>
      <c r="K1" s="3" t="s">
        <v>10</v>
      </c>
      <c r="L1" s="3" t="s">
        <v>11</v>
      </c>
      <c r="M1" s="3" t="s">
        <v>40</v>
      </c>
      <c r="N1" s="3" t="s">
        <v>12</v>
      </c>
    </row>
    <row r="2" spans="1:14" x14ac:dyDescent="0.35">
      <c r="A2">
        <v>12496</v>
      </c>
      <c r="B2" t="s">
        <v>36</v>
      </c>
      <c r="C2" t="s">
        <v>38</v>
      </c>
      <c r="D2" s="1">
        <v>40000</v>
      </c>
      <c r="E2">
        <v>1</v>
      </c>
      <c r="F2" t="s">
        <v>13</v>
      </c>
      <c r="G2" t="s">
        <v>14</v>
      </c>
      <c r="H2" t="s">
        <v>15</v>
      </c>
      <c r="I2">
        <v>0</v>
      </c>
      <c r="J2" t="s">
        <v>16</v>
      </c>
      <c r="K2" t="s">
        <v>17</v>
      </c>
      <c r="L2">
        <v>42</v>
      </c>
      <c r="M2" t="str">
        <f>IF(L2&gt;54," Old",IF(L2&gt;=31,"Middle Age",IF(L2&lt;31,"Adolescent","invalid")))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 xml:space="preserve"> 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 xml:space="preserve"> Old</v>
      </c>
      <c r="N10" t="s">
        <v>18</v>
      </c>
    </row>
    <row r="11" spans="1:14" x14ac:dyDescent="0.35">
      <c r="A11">
        <v>19280</v>
      </c>
      <c r="B11" t="s">
        <v>36</v>
      </c>
      <c r="C11" t="s">
        <v>39</v>
      </c>
      <c r="D11" s="1">
        <v>120000</v>
      </c>
      <c r="E11">
        <v>2</v>
      </c>
      <c r="F11" t="s">
        <v>19</v>
      </c>
      <c r="G11" t="s">
        <v>25</v>
      </c>
      <c r="H11" t="s">
        <v>15</v>
      </c>
      <c r="I11">
        <v>1</v>
      </c>
      <c r="J11" t="s">
        <v>16</v>
      </c>
      <c r="K11" t="s">
        <v>17</v>
      </c>
      <c r="L11">
        <v>40</v>
      </c>
      <c r="M11" t="str">
        <f>IF(L11&gt;54," Old",IF(L11&gt;=31,"Middle Age",IF(L11&lt;31,"Adolescent","invalid")))</f>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 xml:space="preserve"> 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 xml:space="preserve"> 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 xml:space="preserve"> 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 xml:space="preserve"> 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 xml:space="preserve"> 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 xml:space="preserve"> 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 xml:space="preserve"> 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 xml:space="preserve"> 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 xml:space="preserve"> 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 xml:space="preserve"> 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 xml:space="preserve"> 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 xml:space="preserve"> 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 Old",IF(L67&gt;=31,"Middle Age",IF(L67&lt;31,"Adolescent","invalid")))</f>
        <v xml:space="preserve"> 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 xml:space="preserve"> 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 xml:space="preserve"> 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 xml:space="preserve"> Old</v>
      </c>
      <c r="N96" t="s">
        <v>18</v>
      </c>
    </row>
    <row r="97" spans="1:14" x14ac:dyDescent="0.35">
      <c r="A97">
        <v>17197</v>
      </c>
      <c r="B97" t="s">
        <v>37</v>
      </c>
      <c r="C97" t="s">
        <v>38</v>
      </c>
      <c r="D97" s="1">
        <v>90000</v>
      </c>
      <c r="E97">
        <v>5</v>
      </c>
      <c r="F97" t="s">
        <v>19</v>
      </c>
      <c r="G97" t="s">
        <v>21</v>
      </c>
      <c r="H97" t="s">
        <v>15</v>
      </c>
      <c r="I97">
        <v>2</v>
      </c>
      <c r="J97" t="s">
        <v>46</v>
      </c>
      <c r="K97" t="s">
        <v>17</v>
      </c>
      <c r="L97">
        <v>62</v>
      </c>
      <c r="M97" t="str">
        <f t="shared" si="1"/>
        <v xml:space="preserve"> 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 xml:space="preserve"> 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 xml:space="preserve"> 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 xml:space="preserve"> 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 xml:space="preserve"> 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 xml:space="preserve"> 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 xml:space="preserve"> 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 xml:space="preserve"> 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 xml:space="preserve"> 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 xml:space="preserve"> 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 xml:space="preserve"> 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 xml:space="preserve"> 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46</v>
      </c>
      <c r="K180" t="s">
        <v>17</v>
      </c>
      <c r="L180">
        <v>55</v>
      </c>
      <c r="M180" t="str">
        <f t="shared" si="2"/>
        <v xml:space="preserve"> 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 xml:space="preserve"> 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 xml:space="preserve"> Old</v>
      </c>
      <c r="N185" t="s">
        <v>15</v>
      </c>
    </row>
    <row r="186" spans="1:14" x14ac:dyDescent="0.35">
      <c r="A186">
        <v>28918</v>
      </c>
      <c r="B186" t="s">
        <v>36</v>
      </c>
      <c r="C186" t="s">
        <v>38</v>
      </c>
      <c r="D186" s="1">
        <v>130000</v>
      </c>
      <c r="E186">
        <v>4</v>
      </c>
      <c r="F186" t="s">
        <v>27</v>
      </c>
      <c r="G186" t="s">
        <v>28</v>
      </c>
      <c r="H186" t="s">
        <v>18</v>
      </c>
      <c r="I186">
        <v>4</v>
      </c>
      <c r="J186" t="s">
        <v>46</v>
      </c>
      <c r="K186" t="s">
        <v>17</v>
      </c>
      <c r="L186">
        <v>58</v>
      </c>
      <c r="M186" t="str">
        <f t="shared" si="2"/>
        <v xml:space="preserve"> 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 xml:space="preserve"> Old</v>
      </c>
      <c r="N188" t="s">
        <v>15</v>
      </c>
    </row>
    <row r="189" spans="1:14" x14ac:dyDescent="0.35">
      <c r="A189">
        <v>18151</v>
      </c>
      <c r="B189" t="s">
        <v>37</v>
      </c>
      <c r="C189" t="s">
        <v>39</v>
      </c>
      <c r="D189" s="1">
        <v>80000</v>
      </c>
      <c r="E189">
        <v>5</v>
      </c>
      <c r="F189" t="s">
        <v>19</v>
      </c>
      <c r="G189" t="s">
        <v>21</v>
      </c>
      <c r="H189" t="s">
        <v>18</v>
      </c>
      <c r="I189">
        <v>2</v>
      </c>
      <c r="J189" t="s">
        <v>46</v>
      </c>
      <c r="K189" t="s">
        <v>17</v>
      </c>
      <c r="L189">
        <v>59</v>
      </c>
      <c r="M189" t="str">
        <f t="shared" si="2"/>
        <v xml:space="preserve"> Old</v>
      </c>
      <c r="N189" t="s">
        <v>18</v>
      </c>
    </row>
    <row r="190" spans="1:14" x14ac:dyDescent="0.3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 xml:space="preserve"> 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46</v>
      </c>
      <c r="K194" t="s">
        <v>17</v>
      </c>
      <c r="L194">
        <v>62</v>
      </c>
      <c r="M194" t="str">
        <f t="shared" si="2"/>
        <v xml:space="preserve"> Old</v>
      </c>
      <c r="N194" t="s">
        <v>18</v>
      </c>
    </row>
    <row r="195" spans="1:14" x14ac:dyDescent="0.35">
      <c r="A195">
        <v>26032</v>
      </c>
      <c r="B195" t="s">
        <v>36</v>
      </c>
      <c r="C195" t="s">
        <v>38</v>
      </c>
      <c r="D195" s="1">
        <v>70000</v>
      </c>
      <c r="E195">
        <v>5</v>
      </c>
      <c r="F195" t="s">
        <v>13</v>
      </c>
      <c r="G195" t="s">
        <v>21</v>
      </c>
      <c r="H195" t="s">
        <v>15</v>
      </c>
      <c r="I195">
        <v>4</v>
      </c>
      <c r="J195" t="s">
        <v>46</v>
      </c>
      <c r="K195" t="s">
        <v>24</v>
      </c>
      <c r="L195">
        <v>41</v>
      </c>
      <c r="M195" t="str">
        <f t="shared" ref="M195:M258" si="3">IF(L195&gt;54," Old",IF(L195&gt;=31,"Middle Age",IF(L195&lt;31,"Adolescent","invalid")))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 xml:space="preserve"> 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46</v>
      </c>
      <c r="K208" t="s">
        <v>17</v>
      </c>
      <c r="L208">
        <v>62</v>
      </c>
      <c r="M208" t="str">
        <f t="shared" si="3"/>
        <v xml:space="preserve"> 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 xml:space="preserve"> 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 xml:space="preserve"> 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46</v>
      </c>
      <c r="K231" t="s">
        <v>17</v>
      </c>
      <c r="L231">
        <v>57</v>
      </c>
      <c r="M231" t="str">
        <f t="shared" si="3"/>
        <v xml:space="preserve"> Old</v>
      </c>
      <c r="N231" t="s">
        <v>18</v>
      </c>
    </row>
    <row r="232" spans="1:14" x14ac:dyDescent="0.35">
      <c r="A232">
        <v>22830</v>
      </c>
      <c r="B232" t="s">
        <v>36</v>
      </c>
      <c r="C232" t="s">
        <v>39</v>
      </c>
      <c r="D232" s="1">
        <v>120000</v>
      </c>
      <c r="E232">
        <v>4</v>
      </c>
      <c r="F232" t="s">
        <v>19</v>
      </c>
      <c r="G232" t="s">
        <v>28</v>
      </c>
      <c r="H232" t="s">
        <v>15</v>
      </c>
      <c r="I232">
        <v>3</v>
      </c>
      <c r="J232" t="s">
        <v>46</v>
      </c>
      <c r="K232" t="s">
        <v>17</v>
      </c>
      <c r="L232">
        <v>56</v>
      </c>
      <c r="M232" t="str">
        <f t="shared" si="3"/>
        <v xml:space="preserve"> 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 xml:space="preserve"> 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 xml:space="preserve"> 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 xml:space="preserve"> 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 xml:space="preserve"> 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46</v>
      </c>
      <c r="K255" t="s">
        <v>17</v>
      </c>
      <c r="L255">
        <v>59</v>
      </c>
      <c r="M255" t="str">
        <f t="shared" si="3"/>
        <v xml:space="preserve"> 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 xml:space="preserve"> 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35">
      <c r="A260">
        <v>14193</v>
      </c>
      <c r="B260" t="s">
        <v>37</v>
      </c>
      <c r="C260" t="s">
        <v>38</v>
      </c>
      <c r="D260" s="1">
        <v>100000</v>
      </c>
      <c r="E260">
        <v>3</v>
      </c>
      <c r="F260" t="s">
        <v>19</v>
      </c>
      <c r="G260" t="s">
        <v>28</v>
      </c>
      <c r="H260" t="s">
        <v>15</v>
      </c>
      <c r="I260">
        <v>4</v>
      </c>
      <c r="J260" t="s">
        <v>46</v>
      </c>
      <c r="K260" t="s">
        <v>17</v>
      </c>
      <c r="L260">
        <v>56</v>
      </c>
      <c r="M260" t="str">
        <f t="shared" si="4"/>
        <v xml:space="preserve"> 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 xml:space="preserve"> 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 xml:space="preserve"> 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 xml:space="preserve"> 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 xml:space="preserve"> 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 xml:space="preserve"> 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 xml:space="preserve"> 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 xml:space="preserve"> 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46</v>
      </c>
      <c r="K331" t="s">
        <v>17</v>
      </c>
      <c r="L331">
        <v>59</v>
      </c>
      <c r="M331" t="str">
        <f t="shared" si="5"/>
        <v xml:space="preserve"> Old</v>
      </c>
      <c r="N331" t="s">
        <v>18</v>
      </c>
    </row>
    <row r="332" spans="1:14" x14ac:dyDescent="0.3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 xml:space="preserve"> 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 xml:space="preserve"> Old</v>
      </c>
      <c r="N360" t="s">
        <v>15</v>
      </c>
    </row>
    <row r="361" spans="1:14" x14ac:dyDescent="0.3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 xml:space="preserve"> 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 xml:space="preserve"> 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 xml:space="preserve"> 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 xml:space="preserve"> 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 xml:space="preserve"> 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 xml:space="preserve"> Old</v>
      </c>
      <c r="N383" t="s">
        <v>18</v>
      </c>
    </row>
    <row r="384" spans="1:14" x14ac:dyDescent="0.3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3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 xml:space="preserve"> 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 xml:space="preserve"> 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 xml:space="preserve"> 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 xml:space="preserve"> 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 xml:space="preserve"> 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1">
        <v>100000</v>
      </c>
      <c r="E422">
        <v>2</v>
      </c>
      <c r="F422" t="s">
        <v>13</v>
      </c>
      <c r="G422" t="s">
        <v>28</v>
      </c>
      <c r="H422" t="s">
        <v>15</v>
      </c>
      <c r="I422">
        <v>4</v>
      </c>
      <c r="J422" t="s">
        <v>46</v>
      </c>
      <c r="K422" t="s">
        <v>17</v>
      </c>
      <c r="L422">
        <v>59</v>
      </c>
      <c r="M422" t="str">
        <f t="shared" si="6"/>
        <v xml:space="preserve"> 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 xml:space="preserve"> 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 xml:space="preserve"> 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 xml:space="preserve"> 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 xml:space="preserve"> 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 xml:space="preserve"> Old</v>
      </c>
      <c r="N459" t="s">
        <v>18</v>
      </c>
    </row>
    <row r="460" spans="1:14" x14ac:dyDescent="0.3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 xml:space="preserve"> 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 xml:space="preserve"> 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 xml:space="preserve"> 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 xml:space="preserve"> 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46</v>
      </c>
      <c r="K488" t="s">
        <v>17</v>
      </c>
      <c r="L488">
        <v>58</v>
      </c>
      <c r="M488" t="str">
        <f t="shared" si="7"/>
        <v xml:space="preserve"> 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46</v>
      </c>
      <c r="K495" t="s">
        <v>32</v>
      </c>
      <c r="L495">
        <v>60</v>
      </c>
      <c r="M495" t="str">
        <f t="shared" si="7"/>
        <v xml:space="preserve"> 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46</v>
      </c>
      <c r="K497" t="s">
        <v>32</v>
      </c>
      <c r="L497">
        <v>56</v>
      </c>
      <c r="M497" t="str">
        <f t="shared" si="7"/>
        <v xml:space="preserve"> 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 xml:space="preserve"> 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1">
        <v>60000</v>
      </c>
      <c r="E515">
        <v>4</v>
      </c>
      <c r="F515" t="s">
        <v>31</v>
      </c>
      <c r="G515" t="s">
        <v>28</v>
      </c>
      <c r="H515" t="s">
        <v>15</v>
      </c>
      <c r="I515">
        <v>2</v>
      </c>
      <c r="J515" t="s">
        <v>46</v>
      </c>
      <c r="K515" t="s">
        <v>32</v>
      </c>
      <c r="L515">
        <v>61</v>
      </c>
      <c r="M515" t="str">
        <f t="shared" ref="M515:M578" si="8">IF(L515&gt;54," Old",IF(L515&gt;=31,"Middle Age",IF(L515&lt;31,"Adolescent","invalid")))</f>
        <v xml:space="preserve"> 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 xml:space="preserve"> 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46</v>
      </c>
      <c r="K523" t="s">
        <v>32</v>
      </c>
      <c r="L523">
        <v>62</v>
      </c>
      <c r="M523" t="str">
        <f t="shared" si="8"/>
        <v xml:space="preserve"> 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 xml:space="preserve"> Old</v>
      </c>
      <c r="N526" t="s">
        <v>18</v>
      </c>
    </row>
    <row r="527" spans="1:14" x14ac:dyDescent="0.35">
      <c r="A527">
        <v>16791</v>
      </c>
      <c r="B527" t="s">
        <v>37</v>
      </c>
      <c r="C527" t="s">
        <v>39</v>
      </c>
      <c r="D527" s="1">
        <v>60000</v>
      </c>
      <c r="E527">
        <v>5</v>
      </c>
      <c r="F527" t="s">
        <v>13</v>
      </c>
      <c r="G527" t="s">
        <v>28</v>
      </c>
      <c r="H527" t="s">
        <v>15</v>
      </c>
      <c r="I527">
        <v>3</v>
      </c>
      <c r="J527" t="s">
        <v>46</v>
      </c>
      <c r="K527" t="s">
        <v>32</v>
      </c>
      <c r="L527">
        <v>59</v>
      </c>
      <c r="M527" t="str">
        <f t="shared" si="8"/>
        <v xml:space="preserve"> 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1">
        <v>60000</v>
      </c>
      <c r="E531">
        <v>2</v>
      </c>
      <c r="F531" t="s">
        <v>19</v>
      </c>
      <c r="G531" t="s">
        <v>21</v>
      </c>
      <c r="H531" t="s">
        <v>15</v>
      </c>
      <c r="I531">
        <v>1</v>
      </c>
      <c r="J531" t="s">
        <v>46</v>
      </c>
      <c r="K531" t="s">
        <v>32</v>
      </c>
      <c r="L531">
        <v>57</v>
      </c>
      <c r="M531" t="str">
        <f t="shared" si="8"/>
        <v xml:space="preserve"> 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46</v>
      </c>
      <c r="K535" t="s">
        <v>32</v>
      </c>
      <c r="L535">
        <v>66</v>
      </c>
      <c r="M535" t="str">
        <f t="shared" si="8"/>
        <v xml:space="preserve"> Old</v>
      </c>
      <c r="N535" t="s">
        <v>18</v>
      </c>
    </row>
    <row r="536" spans="1:14" x14ac:dyDescent="0.35">
      <c r="A536">
        <v>24637</v>
      </c>
      <c r="B536" t="s">
        <v>36</v>
      </c>
      <c r="C536" t="s">
        <v>39</v>
      </c>
      <c r="D536" s="1">
        <v>40000</v>
      </c>
      <c r="E536">
        <v>4</v>
      </c>
      <c r="F536" t="s">
        <v>27</v>
      </c>
      <c r="G536" t="s">
        <v>21</v>
      </c>
      <c r="H536" t="s">
        <v>15</v>
      </c>
      <c r="I536">
        <v>2</v>
      </c>
      <c r="J536" t="s">
        <v>46</v>
      </c>
      <c r="K536" t="s">
        <v>32</v>
      </c>
      <c r="L536">
        <v>64</v>
      </c>
      <c r="M536" t="str">
        <f t="shared" si="8"/>
        <v xml:space="preserve"> Old</v>
      </c>
      <c r="N536" t="s">
        <v>18</v>
      </c>
    </row>
    <row r="537" spans="1:14" x14ac:dyDescent="0.3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 xml:space="preserve"> 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46</v>
      </c>
      <c r="K553" t="s">
        <v>32</v>
      </c>
      <c r="L553">
        <v>63</v>
      </c>
      <c r="M553" t="str">
        <f t="shared" si="8"/>
        <v xml:space="preserve"> Old</v>
      </c>
      <c r="N553" t="s">
        <v>18</v>
      </c>
    </row>
    <row r="554" spans="1:14" x14ac:dyDescent="0.3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 xml:space="preserve"> 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46</v>
      </c>
      <c r="K561" t="s">
        <v>32</v>
      </c>
      <c r="L561">
        <v>58</v>
      </c>
      <c r="M561" t="str">
        <f t="shared" si="8"/>
        <v xml:space="preserve"> 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 xml:space="preserve"> 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46</v>
      </c>
      <c r="K571" t="s">
        <v>32</v>
      </c>
      <c r="L571">
        <v>69</v>
      </c>
      <c r="M571" t="str">
        <f t="shared" si="8"/>
        <v xml:space="preserve"> 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 xml:space="preserve"> 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 xml:space="preserve"> 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46</v>
      </c>
      <c r="K577" t="s">
        <v>32</v>
      </c>
      <c r="L577">
        <v>56</v>
      </c>
      <c r="M577" t="str">
        <f t="shared" si="8"/>
        <v xml:space="preserve"> 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 xml:space="preserve"> 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46</v>
      </c>
      <c r="K582" t="s">
        <v>32</v>
      </c>
      <c r="L582">
        <v>69</v>
      </c>
      <c r="M582" t="str">
        <f t="shared" si="9"/>
        <v xml:space="preserve"> 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46</v>
      </c>
      <c r="K585" t="s">
        <v>32</v>
      </c>
      <c r="L585">
        <v>66</v>
      </c>
      <c r="M585" t="str">
        <f t="shared" si="9"/>
        <v xml:space="preserve"> 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46</v>
      </c>
      <c r="K591" t="s">
        <v>32</v>
      </c>
      <c r="L591">
        <v>57</v>
      </c>
      <c r="M591" t="str">
        <f t="shared" si="9"/>
        <v xml:space="preserve"> 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46</v>
      </c>
      <c r="K593" t="s">
        <v>32</v>
      </c>
      <c r="L593">
        <v>61</v>
      </c>
      <c r="M593" t="str">
        <f t="shared" si="9"/>
        <v xml:space="preserve"> 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 xml:space="preserve"> 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 xml:space="preserve"> 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 xml:space="preserve"> 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 xml:space="preserve"> 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 xml:space="preserve"> 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 xml:space="preserve"> 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 xml:space="preserve"> 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 xml:space="preserve"> 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 xml:space="preserve"> 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 xml:space="preserve"> 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 xml:space="preserve"> 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 xml:space="preserve"> Old</v>
      </c>
      <c r="N642" t="s">
        <v>15</v>
      </c>
    </row>
    <row r="643" spans="1:14" x14ac:dyDescent="0.35">
      <c r="A643">
        <v>21441</v>
      </c>
      <c r="B643" t="s">
        <v>36</v>
      </c>
      <c r="C643" t="s">
        <v>39</v>
      </c>
      <c r="D643" s="1">
        <v>50000</v>
      </c>
      <c r="E643">
        <v>4</v>
      </c>
      <c r="F643" t="s">
        <v>13</v>
      </c>
      <c r="G643" t="s">
        <v>28</v>
      </c>
      <c r="H643" t="s">
        <v>15</v>
      </c>
      <c r="I643">
        <v>2</v>
      </c>
      <c r="J643" t="s">
        <v>46</v>
      </c>
      <c r="K643" t="s">
        <v>32</v>
      </c>
      <c r="L643">
        <v>64</v>
      </c>
      <c r="M643" t="str">
        <f t="shared" ref="M643:M706" si="10">IF(L643&gt;54," Old",IF(L643&gt;=31,"Middle Age",IF(L643&lt;31,"Adolescent","invalid")))</f>
        <v xml:space="preserve"> 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 xml:space="preserve"> 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46</v>
      </c>
      <c r="K652" t="s">
        <v>32</v>
      </c>
      <c r="L652">
        <v>67</v>
      </c>
      <c r="M652" t="str">
        <f t="shared" si="10"/>
        <v xml:space="preserve"> 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46</v>
      </c>
      <c r="K661" t="s">
        <v>32</v>
      </c>
      <c r="L661">
        <v>63</v>
      </c>
      <c r="M661" t="str">
        <f t="shared" si="10"/>
        <v xml:space="preserve"> 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46</v>
      </c>
      <c r="K669" t="s">
        <v>32</v>
      </c>
      <c r="L669">
        <v>61</v>
      </c>
      <c r="M669" t="str">
        <f t="shared" si="10"/>
        <v xml:space="preserve"> 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46</v>
      </c>
      <c r="K672" t="s">
        <v>32</v>
      </c>
      <c r="L672">
        <v>59</v>
      </c>
      <c r="M672" t="str">
        <f t="shared" si="10"/>
        <v xml:space="preserve"> 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 xml:space="preserve"> Old</v>
      </c>
      <c r="N680" t="s">
        <v>18</v>
      </c>
    </row>
    <row r="681" spans="1:14" x14ac:dyDescent="0.35">
      <c r="A681">
        <v>21770</v>
      </c>
      <c r="B681" t="s">
        <v>36</v>
      </c>
      <c r="C681" t="s">
        <v>39</v>
      </c>
      <c r="D681" s="1">
        <v>60000</v>
      </c>
      <c r="E681">
        <v>4</v>
      </c>
      <c r="F681" t="s">
        <v>13</v>
      </c>
      <c r="G681" t="s">
        <v>28</v>
      </c>
      <c r="H681" t="s">
        <v>15</v>
      </c>
      <c r="I681">
        <v>2</v>
      </c>
      <c r="J681" t="s">
        <v>46</v>
      </c>
      <c r="K681" t="s">
        <v>32</v>
      </c>
      <c r="L681">
        <v>60</v>
      </c>
      <c r="M681" t="str">
        <f t="shared" si="10"/>
        <v xml:space="preserve"> 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 xml:space="preserve"> 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1">
        <v>70000</v>
      </c>
      <c r="E707">
        <v>4</v>
      </c>
      <c r="F707" t="s">
        <v>13</v>
      </c>
      <c r="G707" t="s">
        <v>28</v>
      </c>
      <c r="H707" t="s">
        <v>15</v>
      </c>
      <c r="I707">
        <v>1</v>
      </c>
      <c r="J707" t="s">
        <v>46</v>
      </c>
      <c r="K707" t="s">
        <v>32</v>
      </c>
      <c r="L707">
        <v>59</v>
      </c>
      <c r="M707" t="str">
        <f t="shared" ref="M707:M770" si="11">IF(L707&gt;54," Old",IF(L707&gt;=31,"Middle Age",IF(L707&lt;31,"Adolescent","invalid")))</f>
        <v xml:space="preserve"> 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46</v>
      </c>
      <c r="K710" t="s">
        <v>32</v>
      </c>
      <c r="L710">
        <v>60</v>
      </c>
      <c r="M710" t="str">
        <f t="shared" si="11"/>
        <v xml:space="preserve"> Old</v>
      </c>
      <c r="N710" t="s">
        <v>18</v>
      </c>
    </row>
    <row r="711" spans="1:14" x14ac:dyDescent="0.35">
      <c r="A711">
        <v>23712</v>
      </c>
      <c r="B711" t="s">
        <v>37</v>
      </c>
      <c r="C711" t="s">
        <v>38</v>
      </c>
      <c r="D711" s="1">
        <v>70000</v>
      </c>
      <c r="E711">
        <v>2</v>
      </c>
      <c r="F711" t="s">
        <v>13</v>
      </c>
      <c r="G711" t="s">
        <v>28</v>
      </c>
      <c r="H711" t="s">
        <v>15</v>
      </c>
      <c r="I711">
        <v>1</v>
      </c>
      <c r="J711" t="s">
        <v>46</v>
      </c>
      <c r="K711" t="s">
        <v>32</v>
      </c>
      <c r="L711">
        <v>59</v>
      </c>
      <c r="M711" t="str">
        <f t="shared" si="11"/>
        <v xml:space="preserve"> 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46</v>
      </c>
      <c r="K713" t="s">
        <v>32</v>
      </c>
      <c r="L713">
        <v>58</v>
      </c>
      <c r="M713" t="str">
        <f t="shared" si="11"/>
        <v xml:space="preserve"> 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 xml:space="preserve"> 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 xml:space="preserve"> 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46</v>
      </c>
      <c r="K741" t="s">
        <v>32</v>
      </c>
      <c r="L741">
        <v>55</v>
      </c>
      <c r="M741" t="str">
        <f t="shared" si="11"/>
        <v xml:space="preserve"> 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46</v>
      </c>
      <c r="K746" t="s">
        <v>32</v>
      </c>
      <c r="L746">
        <v>56</v>
      </c>
      <c r="M746" t="str">
        <f t="shared" si="11"/>
        <v xml:space="preserve"> 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46</v>
      </c>
      <c r="K748" t="s">
        <v>32</v>
      </c>
      <c r="L748">
        <v>56</v>
      </c>
      <c r="M748" t="str">
        <f t="shared" si="11"/>
        <v xml:space="preserve"> 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 xml:space="preserve"> 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 xml:space="preserve"> 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 xml:space="preserve"> 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46</v>
      </c>
      <c r="K763" t="s">
        <v>32</v>
      </c>
      <c r="L763">
        <v>59</v>
      </c>
      <c r="M763" t="str">
        <f t="shared" si="11"/>
        <v xml:space="preserve"> 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 xml:space="preserve"> 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 xml:space="preserve"> 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 xml:space="preserve"> 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46</v>
      </c>
      <c r="K782" t="s">
        <v>32</v>
      </c>
      <c r="L782">
        <v>55</v>
      </c>
      <c r="M782" t="str">
        <f t="shared" si="12"/>
        <v xml:space="preserve"> 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 xml:space="preserve"> 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 xml:space="preserve"> 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 xml:space="preserve"> 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 xml:space="preserve"> 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 xml:space="preserve"> 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46</v>
      </c>
      <c r="K814" t="s">
        <v>32</v>
      </c>
      <c r="L814">
        <v>61</v>
      </c>
      <c r="M814" t="str">
        <f t="shared" si="12"/>
        <v xml:space="preserve"> Old</v>
      </c>
      <c r="N814" t="s">
        <v>18</v>
      </c>
    </row>
    <row r="815" spans="1:14" x14ac:dyDescent="0.3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 xml:space="preserve"> 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 xml:space="preserve"> 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 xml:space="preserve"> 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1">
        <v>40000</v>
      </c>
      <c r="E846">
        <v>5</v>
      </c>
      <c r="F846" t="s">
        <v>27</v>
      </c>
      <c r="G846" t="s">
        <v>21</v>
      </c>
      <c r="H846" t="s">
        <v>15</v>
      </c>
      <c r="I846">
        <v>2</v>
      </c>
      <c r="J846" t="s">
        <v>46</v>
      </c>
      <c r="K846" t="s">
        <v>32</v>
      </c>
      <c r="L846">
        <v>60</v>
      </c>
      <c r="M846" t="str">
        <f t="shared" si="13"/>
        <v xml:space="preserve"> 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 xml:space="preserve"> 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 xml:space="preserve"> 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 xml:space="preserve"> 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46</v>
      </c>
      <c r="K868" t="s">
        <v>32</v>
      </c>
      <c r="L868">
        <v>55</v>
      </c>
      <c r="M868" t="str">
        <f t="shared" si="13"/>
        <v xml:space="preserve"> 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46</v>
      </c>
      <c r="K870" t="s">
        <v>32</v>
      </c>
      <c r="L870">
        <v>60</v>
      </c>
      <c r="M870" t="str">
        <f t="shared" si="13"/>
        <v xml:space="preserve"> 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46</v>
      </c>
      <c r="K873" t="s">
        <v>32</v>
      </c>
      <c r="L873">
        <v>55</v>
      </c>
      <c r="M873" t="str">
        <f t="shared" si="13"/>
        <v xml:space="preserve"> 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 xml:space="preserve"> 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 xml:space="preserve"> 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 xml:space="preserve"> 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 xml:space="preserve"> 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 xml:space="preserve"> 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 xml:space="preserve"> 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35">
      <c r="A900">
        <v>18066</v>
      </c>
      <c r="B900" t="s">
        <v>37</v>
      </c>
      <c r="C900" t="s">
        <v>39</v>
      </c>
      <c r="D900" s="1">
        <v>70000</v>
      </c>
      <c r="E900">
        <v>5</v>
      </c>
      <c r="F900" t="s">
        <v>13</v>
      </c>
      <c r="G900" t="s">
        <v>28</v>
      </c>
      <c r="H900" t="s">
        <v>15</v>
      </c>
      <c r="I900">
        <v>3</v>
      </c>
      <c r="J900" t="s">
        <v>46</v>
      </c>
      <c r="K900" t="s">
        <v>32</v>
      </c>
      <c r="L900">
        <v>60</v>
      </c>
      <c r="M900" t="str">
        <f t="shared" si="14"/>
        <v xml:space="preserve"> Old</v>
      </c>
      <c r="N900" t="s">
        <v>15</v>
      </c>
    </row>
    <row r="901" spans="1:14" x14ac:dyDescent="0.3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 xml:space="preserve"> 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46</v>
      </c>
      <c r="K909" t="s">
        <v>32</v>
      </c>
      <c r="L909">
        <v>63</v>
      </c>
      <c r="M909" t="str">
        <f t="shared" si="14"/>
        <v xml:space="preserve"> 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 xml:space="preserve"> 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46</v>
      </c>
      <c r="K917" t="s">
        <v>32</v>
      </c>
      <c r="L917">
        <v>64</v>
      </c>
      <c r="M917" t="str">
        <f t="shared" si="14"/>
        <v xml:space="preserve"> 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46</v>
      </c>
      <c r="K921" t="s">
        <v>32</v>
      </c>
      <c r="L921">
        <v>61</v>
      </c>
      <c r="M921" t="str">
        <f t="shared" si="14"/>
        <v xml:space="preserve"> 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46</v>
      </c>
      <c r="K928" t="s">
        <v>32</v>
      </c>
      <c r="L928">
        <v>57</v>
      </c>
      <c r="M928" t="str">
        <f t="shared" si="14"/>
        <v xml:space="preserve"> 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 xml:space="preserve"> 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 xml:space="preserve"> 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 xml:space="preserve"> 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 xml:space="preserve"> 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 Old",IF(L963&gt;=31,"Middle Age",IF(L963&lt;31,"Adolescent","invalid")))</f>
        <v xml:space="preserve"> Old</v>
      </c>
      <c r="N963" t="s">
        <v>18</v>
      </c>
    </row>
    <row r="964" spans="1:14" x14ac:dyDescent="0.35">
      <c r="A964">
        <v>16813</v>
      </c>
      <c r="B964" t="s">
        <v>36</v>
      </c>
      <c r="C964" t="s">
        <v>39</v>
      </c>
      <c r="D964" s="1">
        <v>60000</v>
      </c>
      <c r="E964">
        <v>2</v>
      </c>
      <c r="F964" t="s">
        <v>19</v>
      </c>
      <c r="G964" t="s">
        <v>21</v>
      </c>
      <c r="H964" t="s">
        <v>15</v>
      </c>
      <c r="I964">
        <v>2</v>
      </c>
      <c r="J964" t="s">
        <v>46</v>
      </c>
      <c r="K964" t="s">
        <v>32</v>
      </c>
      <c r="L964">
        <v>55</v>
      </c>
      <c r="M964" t="str">
        <f t="shared" si="15"/>
        <v xml:space="preserve"> 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 xml:space="preserve"> Old</v>
      </c>
      <c r="N965" t="s">
        <v>15</v>
      </c>
    </row>
    <row r="966" spans="1:14" x14ac:dyDescent="0.35">
      <c r="A966">
        <v>27434</v>
      </c>
      <c r="B966" t="s">
        <v>37</v>
      </c>
      <c r="C966" t="s">
        <v>39</v>
      </c>
      <c r="D966" s="1">
        <v>70000</v>
      </c>
      <c r="E966">
        <v>4</v>
      </c>
      <c r="F966" t="s">
        <v>19</v>
      </c>
      <c r="G966" t="s">
        <v>21</v>
      </c>
      <c r="H966" t="s">
        <v>15</v>
      </c>
      <c r="I966">
        <v>1</v>
      </c>
      <c r="J966" t="s">
        <v>46</v>
      </c>
      <c r="K966" t="s">
        <v>32</v>
      </c>
      <c r="L966">
        <v>56</v>
      </c>
      <c r="M966" t="str">
        <f t="shared" si="15"/>
        <v xml:space="preserve"> 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 xml:space="preserve"> 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46</v>
      </c>
      <c r="K978" t="s">
        <v>32</v>
      </c>
      <c r="L978">
        <v>66</v>
      </c>
      <c r="M978" t="str">
        <f t="shared" si="15"/>
        <v xml:space="preserve"> 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 xml:space="preserve"> 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46</v>
      </c>
      <c r="K988" t="s">
        <v>32</v>
      </c>
      <c r="L988">
        <v>60</v>
      </c>
      <c r="M988" t="str">
        <f t="shared" si="15"/>
        <v xml:space="preserve"> Old</v>
      </c>
      <c r="N988" t="s">
        <v>15</v>
      </c>
    </row>
    <row r="989" spans="1:14" x14ac:dyDescent="0.35">
      <c r="A989">
        <v>28972</v>
      </c>
      <c r="B989" t="s">
        <v>37</v>
      </c>
      <c r="C989" t="s">
        <v>38</v>
      </c>
      <c r="D989" s="1">
        <v>60000</v>
      </c>
      <c r="E989">
        <v>3</v>
      </c>
      <c r="F989" t="s">
        <v>31</v>
      </c>
      <c r="G989" t="s">
        <v>28</v>
      </c>
      <c r="H989" t="s">
        <v>15</v>
      </c>
      <c r="I989">
        <v>2</v>
      </c>
      <c r="J989" t="s">
        <v>46</v>
      </c>
      <c r="K989" t="s">
        <v>32</v>
      </c>
      <c r="L989">
        <v>66</v>
      </c>
      <c r="M989" t="str">
        <f t="shared" si="15"/>
        <v xml:space="preserve"> Old</v>
      </c>
      <c r="N989" t="s">
        <v>18</v>
      </c>
    </row>
    <row r="990" spans="1:14" x14ac:dyDescent="0.35">
      <c r="A990">
        <v>22730</v>
      </c>
      <c r="B990" t="s">
        <v>36</v>
      </c>
      <c r="C990" t="s">
        <v>39</v>
      </c>
      <c r="D990" s="1">
        <v>70000</v>
      </c>
      <c r="E990">
        <v>5</v>
      </c>
      <c r="F990" t="s">
        <v>13</v>
      </c>
      <c r="G990" t="s">
        <v>28</v>
      </c>
      <c r="H990" t="s">
        <v>15</v>
      </c>
      <c r="I990">
        <v>2</v>
      </c>
      <c r="J990" t="s">
        <v>46</v>
      </c>
      <c r="K990" t="s">
        <v>32</v>
      </c>
      <c r="L990">
        <v>63</v>
      </c>
      <c r="M990" t="str">
        <f t="shared" si="15"/>
        <v xml:space="preserve"> Old</v>
      </c>
      <c r="N990" t="s">
        <v>18</v>
      </c>
    </row>
    <row r="991" spans="1:14" x14ac:dyDescent="0.3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6C80-2092-478F-94AD-1842C4864A49}">
  <dimension ref="A3:D40"/>
  <sheetViews>
    <sheetView topLeftCell="C35" workbookViewId="0">
      <selection activeCell="F31" sqref="F3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13.54296875" bestFit="1" customWidth="1"/>
    <col min="6" max="6" width="26.36328125" bestFit="1" customWidth="1"/>
    <col min="7" max="7" width="18.1796875" bestFit="1" customWidth="1"/>
  </cols>
  <sheetData>
    <row r="3" spans="1:4" x14ac:dyDescent="0.35">
      <c r="A3" s="4" t="s">
        <v>43</v>
      </c>
      <c r="B3" s="4" t="s">
        <v>44</v>
      </c>
    </row>
    <row r="4" spans="1:4" x14ac:dyDescent="0.35">
      <c r="A4" s="4" t="s">
        <v>41</v>
      </c>
      <c r="B4" t="s">
        <v>18</v>
      </c>
      <c r="C4" t="s">
        <v>15</v>
      </c>
      <c r="D4" t="s">
        <v>42</v>
      </c>
    </row>
    <row r="5" spans="1:4" x14ac:dyDescent="0.35">
      <c r="A5" s="5" t="s">
        <v>38</v>
      </c>
      <c r="B5" s="6">
        <v>53440</v>
      </c>
      <c r="C5" s="6">
        <v>55774.058577405856</v>
      </c>
      <c r="D5" s="6">
        <v>54580.777096114522</v>
      </c>
    </row>
    <row r="6" spans="1:4" x14ac:dyDescent="0.35">
      <c r="A6" s="5" t="s">
        <v>39</v>
      </c>
      <c r="B6" s="6">
        <v>56208.178438661707</v>
      </c>
      <c r="C6" s="6">
        <v>60123.966942148763</v>
      </c>
      <c r="D6" s="6">
        <v>58062.62230919765</v>
      </c>
    </row>
    <row r="7" spans="1:4" x14ac:dyDescent="0.35">
      <c r="A7" s="5" t="s">
        <v>42</v>
      </c>
      <c r="B7" s="6">
        <v>54874.759152215796</v>
      </c>
      <c r="C7" s="6">
        <v>57962.577962577961</v>
      </c>
      <c r="D7" s="6">
        <v>56360</v>
      </c>
    </row>
    <row r="20" spans="1:4" x14ac:dyDescent="0.35">
      <c r="A20" s="4" t="s">
        <v>45</v>
      </c>
      <c r="B20" s="4" t="s">
        <v>44</v>
      </c>
    </row>
    <row r="21" spans="1:4" x14ac:dyDescent="0.35">
      <c r="A21" s="4" t="s">
        <v>41</v>
      </c>
      <c r="B21" t="s">
        <v>18</v>
      </c>
      <c r="C21" t="s">
        <v>15</v>
      </c>
      <c r="D21" t="s">
        <v>42</v>
      </c>
    </row>
    <row r="22" spans="1:4" x14ac:dyDescent="0.35">
      <c r="A22" s="5" t="s">
        <v>16</v>
      </c>
      <c r="B22" s="7">
        <v>166</v>
      </c>
      <c r="C22" s="7">
        <v>200</v>
      </c>
      <c r="D22" s="7">
        <v>366</v>
      </c>
    </row>
    <row r="23" spans="1:4" x14ac:dyDescent="0.35">
      <c r="A23" s="5" t="s">
        <v>26</v>
      </c>
      <c r="B23" s="7">
        <v>92</v>
      </c>
      <c r="C23" s="7">
        <v>77</v>
      </c>
      <c r="D23" s="7">
        <v>169</v>
      </c>
    </row>
    <row r="24" spans="1:4" x14ac:dyDescent="0.35">
      <c r="A24" s="5" t="s">
        <v>22</v>
      </c>
      <c r="B24" s="7">
        <v>67</v>
      </c>
      <c r="C24" s="7">
        <v>95</v>
      </c>
      <c r="D24" s="7">
        <v>162</v>
      </c>
    </row>
    <row r="25" spans="1:4" x14ac:dyDescent="0.35">
      <c r="A25" s="5" t="s">
        <v>23</v>
      </c>
      <c r="B25" s="7">
        <v>116</v>
      </c>
      <c r="C25" s="7">
        <v>76</v>
      </c>
      <c r="D25" s="7">
        <v>192</v>
      </c>
    </row>
    <row r="26" spans="1:4" x14ac:dyDescent="0.35">
      <c r="A26" s="5" t="s">
        <v>46</v>
      </c>
      <c r="B26" s="7">
        <v>78</v>
      </c>
      <c r="C26" s="7">
        <v>33</v>
      </c>
      <c r="D26" s="7">
        <v>111</v>
      </c>
    </row>
    <row r="27" spans="1:4" x14ac:dyDescent="0.35">
      <c r="A27" s="5" t="s">
        <v>42</v>
      </c>
      <c r="B27" s="7">
        <v>519</v>
      </c>
      <c r="C27" s="7">
        <v>481</v>
      </c>
      <c r="D27" s="7">
        <v>1000</v>
      </c>
    </row>
    <row r="35" spans="1:4" x14ac:dyDescent="0.35">
      <c r="A35" s="4" t="s">
        <v>45</v>
      </c>
      <c r="B35" s="4" t="s">
        <v>44</v>
      </c>
    </row>
    <row r="36" spans="1:4" x14ac:dyDescent="0.35">
      <c r="A36" s="4" t="s">
        <v>41</v>
      </c>
      <c r="B36" t="s">
        <v>18</v>
      </c>
      <c r="C36" t="s">
        <v>15</v>
      </c>
      <c r="D36" t="s">
        <v>42</v>
      </c>
    </row>
    <row r="37" spans="1:4" x14ac:dyDescent="0.35">
      <c r="A37" s="5" t="s">
        <v>48</v>
      </c>
      <c r="B37" s="7">
        <v>71</v>
      </c>
      <c r="C37" s="7">
        <v>39</v>
      </c>
      <c r="D37" s="7">
        <v>110</v>
      </c>
    </row>
    <row r="38" spans="1:4" x14ac:dyDescent="0.35">
      <c r="A38" s="5" t="s">
        <v>49</v>
      </c>
      <c r="B38" s="7">
        <v>318</v>
      </c>
      <c r="C38" s="7">
        <v>383</v>
      </c>
      <c r="D38" s="7">
        <v>701</v>
      </c>
    </row>
    <row r="39" spans="1:4" x14ac:dyDescent="0.35">
      <c r="A39" s="5" t="s">
        <v>47</v>
      </c>
      <c r="B39" s="7">
        <v>130</v>
      </c>
      <c r="C39" s="7">
        <v>59</v>
      </c>
      <c r="D39" s="7">
        <v>189</v>
      </c>
    </row>
    <row r="40" spans="1:4" x14ac:dyDescent="0.35">
      <c r="A40" s="5" t="s">
        <v>42</v>
      </c>
      <c r="B40" s="7">
        <v>519</v>
      </c>
      <c r="C40" s="7">
        <v>481</v>
      </c>
      <c r="D4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B9B4-BFEB-4D61-9BAC-E612F59F9CA5}">
  <dimension ref="A1:Q6"/>
  <sheetViews>
    <sheetView showGridLines="0" tabSelected="1" topLeftCell="A4" zoomScale="80" zoomScaleNormal="80" workbookViewId="0">
      <selection activeCell="T17" sqref="T17"/>
    </sheetView>
  </sheetViews>
  <sheetFormatPr defaultRowHeight="14.5" x14ac:dyDescent="0.35"/>
  <cols>
    <col min="16" max="16" width="8.7265625" customWidth="1"/>
    <col min="17" max="17" width="3.1796875" customWidth="1"/>
  </cols>
  <sheetData>
    <row r="1" spans="1:17" x14ac:dyDescent="0.35">
      <c r="A1" s="8"/>
      <c r="B1" s="8"/>
      <c r="C1" s="8"/>
      <c r="D1" s="8"/>
      <c r="E1" s="8"/>
      <c r="F1" s="8"/>
      <c r="G1" s="8"/>
      <c r="H1" s="9"/>
      <c r="I1" s="9"/>
      <c r="J1" s="9"/>
      <c r="K1" s="9"/>
      <c r="L1" s="9"/>
      <c r="M1" s="9"/>
      <c r="N1" s="9"/>
      <c r="O1" s="9"/>
      <c r="P1" s="9"/>
      <c r="Q1" s="9"/>
    </row>
    <row r="2" spans="1:17" x14ac:dyDescent="0.35">
      <c r="A2" s="8"/>
      <c r="B2" s="8"/>
      <c r="C2" s="8"/>
      <c r="D2" s="8"/>
      <c r="E2" s="8"/>
      <c r="F2" s="8"/>
      <c r="G2" s="8"/>
      <c r="H2" s="9"/>
      <c r="I2" s="9"/>
      <c r="J2" s="9"/>
      <c r="K2" s="9"/>
      <c r="L2" s="9"/>
      <c r="M2" s="9"/>
      <c r="N2" s="9"/>
      <c r="O2" s="9"/>
      <c r="P2" s="9"/>
      <c r="Q2" s="9"/>
    </row>
    <row r="3" spans="1:17" x14ac:dyDescent="0.35">
      <c r="A3" s="8"/>
      <c r="B3" s="8"/>
      <c r="C3" s="8"/>
      <c r="D3" s="8"/>
      <c r="E3" s="8"/>
      <c r="F3" s="8"/>
      <c r="G3" s="8"/>
      <c r="H3" s="9"/>
      <c r="I3" s="9"/>
      <c r="J3" s="9"/>
      <c r="K3" s="9"/>
      <c r="L3" s="9"/>
      <c r="M3" s="9"/>
      <c r="N3" s="9"/>
      <c r="O3" s="9"/>
      <c r="P3" s="9"/>
      <c r="Q3" s="9"/>
    </row>
    <row r="4" spans="1:17" ht="36" x14ac:dyDescent="0.8">
      <c r="A4" s="11" t="s">
        <v>50</v>
      </c>
      <c r="B4" s="11"/>
      <c r="C4" s="11"/>
      <c r="D4" s="11"/>
      <c r="E4" s="12"/>
      <c r="F4" s="8"/>
      <c r="G4" s="8"/>
      <c r="H4" s="9"/>
      <c r="I4" s="9"/>
      <c r="J4" s="9"/>
      <c r="K4" s="9"/>
      <c r="L4" s="9"/>
      <c r="M4" s="9"/>
      <c r="N4" s="9"/>
      <c r="O4" s="9"/>
      <c r="P4" s="9"/>
      <c r="Q4" s="9"/>
    </row>
    <row r="5" spans="1:17" x14ac:dyDescent="0.35">
      <c r="A5" s="8"/>
      <c r="B5" s="8"/>
      <c r="C5" s="8"/>
      <c r="D5" s="8"/>
      <c r="E5" s="8"/>
      <c r="F5" s="8"/>
      <c r="G5" s="8"/>
      <c r="H5" s="9"/>
      <c r="I5" s="9"/>
      <c r="J5" s="9"/>
      <c r="K5" s="9"/>
      <c r="L5" s="9"/>
      <c r="M5" s="9"/>
      <c r="N5" s="9"/>
      <c r="O5" s="9"/>
      <c r="P5" s="9"/>
      <c r="Q5" s="9"/>
    </row>
    <row r="6" spans="1:17" ht="23.5" x14ac:dyDescent="0.55000000000000004">
      <c r="A6" s="8"/>
      <c r="B6" s="8"/>
      <c r="C6" s="10"/>
      <c r="D6" s="10"/>
      <c r="E6" s="10"/>
      <c r="F6" s="8"/>
      <c r="G6" s="8"/>
      <c r="H6" s="9"/>
      <c r="I6" s="9"/>
      <c r="J6" s="9"/>
      <c r="K6" s="9"/>
      <c r="L6" s="9"/>
      <c r="M6" s="9"/>
      <c r="N6" s="9"/>
      <c r="O6" s="9"/>
      <c r="P6" s="9"/>
      <c r="Q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 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favour alozie</cp:lastModifiedBy>
  <dcterms:created xsi:type="dcterms:W3CDTF">2022-03-18T02:50:57Z</dcterms:created>
  <dcterms:modified xsi:type="dcterms:W3CDTF">2026-04-01T14:31:49Z</dcterms:modified>
</cp:coreProperties>
</file>